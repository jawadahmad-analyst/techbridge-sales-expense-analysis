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3"/>
    <sheet name="Purchases" sheetId="2" state="visible" r:id="rId4"/>
    <sheet name="Expenses" sheetId="3" state="visible" r:id="rId5"/>
    <sheet name="Summary" sheetId="4" state="visible" r:id="rId6"/>
  </sheets>
  <definedNames>
    <definedName function="false" hidden="true" localSheetId="2" name="_xlnm._FilterDatabase" vbProcedure="false">Expenses!$A$1:$E$12</definedName>
    <definedName function="false" hidden="true" localSheetId="1" name="_xlnm._FilterDatabase" vbProcedure="false">Purchases!$A$1:$J$12</definedName>
    <definedName function="false" hidden="true" localSheetId="0" name="_xlnm._FilterDatabase" vbProcedure="false">Sales!$A$1:$J$29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<sst xmlns="http://schemas.openxmlformats.org/spreadsheetml/2006/main" count="259" uniqueCount="130">
  <si>
    <t xml:space="preserve">Date</t>
  </si>
  <si>
    <t xml:space="preserve">Invoice No.</t>
  </si>
  <si>
    <t xml:space="preserve">Customer</t>
  </si>
  <si>
    <t xml:space="preserve">Product</t>
  </si>
  <si>
    <t xml:space="preserve">Quantity</t>
  </si>
  <si>
    <t xml:space="preserve">Unit Price</t>
  </si>
  <si>
    <t xml:space="preserve">Total Sales</t>
  </si>
  <si>
    <t xml:space="preserve">Payment Type</t>
  </si>
  <si>
    <t xml:space="preserve">Amount Received</t>
  </si>
  <si>
    <t xml:space="preserve">Outstanding</t>
  </si>
  <si>
    <t xml:space="preserve">INV-001</t>
  </si>
  <si>
    <t xml:space="preserve">Al-Rehman Traders</t>
  </si>
  <si>
    <t xml:space="preserve">Keyboard</t>
  </si>
  <si>
    <t xml:space="preserve">Cash</t>
  </si>
  <si>
    <t xml:space="preserve">INV-002</t>
  </si>
  <si>
    <t xml:space="preserve">City Computers</t>
  </si>
  <si>
    <t xml:space="preserve">Mouse</t>
  </si>
  <si>
    <t xml:space="preserve">INV-003</t>
  </si>
  <si>
    <t xml:space="preserve">Bright Star Electronics</t>
  </si>
  <si>
    <t xml:space="preserve">Headphones</t>
  </si>
  <si>
    <t xml:space="preserve">Credit</t>
  </si>
  <si>
    <t xml:space="preserve">INV-004</t>
  </si>
  <si>
    <t xml:space="preserve">Prime Tech Store</t>
  </si>
  <si>
    <t xml:space="preserve">Webcam</t>
  </si>
  <si>
    <t xml:space="preserve">INV-005</t>
  </si>
  <si>
    <t xml:space="preserve">Digital Hub</t>
  </si>
  <si>
    <t xml:space="preserve">USB Drive</t>
  </si>
  <si>
    <t xml:space="preserve">INV-006</t>
  </si>
  <si>
    <t xml:space="preserve">Osama Traders</t>
  </si>
  <si>
    <t xml:space="preserve">Power Bank</t>
  </si>
  <si>
    <t xml:space="preserve">INV-007</t>
  </si>
  <si>
    <t xml:space="preserve">Speedy Gadgets</t>
  </si>
  <si>
    <t xml:space="preserve">INV-008</t>
  </si>
  <si>
    <t xml:space="preserve">National Computer Center</t>
  </si>
  <si>
    <t xml:space="preserve">INV-009</t>
  </si>
  <si>
    <t xml:space="preserve">Sunrise Electronics</t>
  </si>
  <si>
    <t xml:space="preserve">INV-010</t>
  </si>
  <si>
    <t xml:space="preserve">Metro Traders</t>
  </si>
  <si>
    <t xml:space="preserve">INV-011</t>
  </si>
  <si>
    <t xml:space="preserve">Value Mart Electronics</t>
  </si>
  <si>
    <t xml:space="preserve">INV-012</t>
  </si>
  <si>
    <t xml:space="preserve">Falcon IT Solutions</t>
  </si>
  <si>
    <t xml:space="preserve">INV-013</t>
  </si>
  <si>
    <t xml:space="preserve">INV-014</t>
  </si>
  <si>
    <t xml:space="preserve">INV-015</t>
  </si>
  <si>
    <t xml:space="preserve">INV-016</t>
  </si>
  <si>
    <t xml:space="preserve">INV-017</t>
  </si>
  <si>
    <t xml:space="preserve">INV-018</t>
  </si>
  <si>
    <t xml:space="preserve">INV-019</t>
  </si>
  <si>
    <t xml:space="preserve">INV-020</t>
  </si>
  <si>
    <t xml:space="preserve">INV-021</t>
  </si>
  <si>
    <t xml:space="preserve">INV-022</t>
  </si>
  <si>
    <t xml:space="preserve">INV-023</t>
  </si>
  <si>
    <t xml:space="preserve">INV-024</t>
  </si>
  <si>
    <t xml:space="preserve">INV-025</t>
  </si>
  <si>
    <t xml:space="preserve">INV-026</t>
  </si>
  <si>
    <t xml:space="preserve">INV-027</t>
  </si>
  <si>
    <t xml:space="preserve">INV-028</t>
  </si>
  <si>
    <t xml:space="preserve">TOTAL</t>
  </si>
  <si>
    <t xml:space="preserve">Purchase No.</t>
  </si>
  <si>
    <t xml:space="preserve">Supplier</t>
  </si>
  <si>
    <t xml:space="preserve">Unit Cost</t>
  </si>
  <si>
    <t xml:space="preserve">Total Purchase</t>
  </si>
  <si>
    <t xml:space="preserve">Amount Paid</t>
  </si>
  <si>
    <t xml:space="preserve">PUR-001</t>
  </si>
  <si>
    <t xml:space="preserve">Al-Fateh Electronics Wholesale</t>
  </si>
  <si>
    <t xml:space="preserve">PUR-002</t>
  </si>
  <si>
    <t xml:space="preserve">Karachi Tech Supplies</t>
  </si>
  <si>
    <t xml:space="preserve">PUR-003</t>
  </si>
  <si>
    <t xml:space="preserve">Lahore Gadget Importers</t>
  </si>
  <si>
    <t xml:space="preserve">PUR-004</t>
  </si>
  <si>
    <t xml:space="preserve">Prime Distributors Ltd</t>
  </si>
  <si>
    <t xml:space="preserve">PUR-005</t>
  </si>
  <si>
    <t xml:space="preserve">National Electronics Wholesale</t>
  </si>
  <si>
    <t xml:space="preserve">PUR-006</t>
  </si>
  <si>
    <t xml:space="preserve">PUR-007</t>
  </si>
  <si>
    <t xml:space="preserve">PUR-008</t>
  </si>
  <si>
    <t xml:space="preserve">PUR-009</t>
  </si>
  <si>
    <t xml:space="preserve">PUR-010</t>
  </si>
  <si>
    <t xml:space="preserve">PUR-011</t>
  </si>
  <si>
    <t xml:space="preserve">Expense Category</t>
  </si>
  <si>
    <t xml:space="preserve">Description</t>
  </si>
  <si>
    <t xml:space="preserve">Payment Method</t>
  </si>
  <si>
    <t xml:space="preserve">Amount</t>
  </si>
  <si>
    <t xml:space="preserve">Rent</t>
  </si>
  <si>
    <t xml:space="preserve">Shop rent for September</t>
  </si>
  <si>
    <t xml:space="preserve">Bank Transfer</t>
  </si>
  <si>
    <t xml:space="preserve">Electricity</t>
  </si>
  <si>
    <t xml:space="preserve">Electricity bill - August usage</t>
  </si>
  <si>
    <t xml:space="preserve">Internet</t>
  </si>
  <si>
    <t xml:space="preserve">Monthly internet package</t>
  </si>
  <si>
    <t xml:space="preserve">Transportation</t>
  </si>
  <si>
    <t xml:space="preserve">Delivery van fuel</t>
  </si>
  <si>
    <t xml:space="preserve">Office Supplies</t>
  </si>
  <si>
    <t xml:space="preserve">Stationery and invoice books</t>
  </si>
  <si>
    <t xml:space="preserve">Telephone</t>
  </si>
  <si>
    <t xml:space="preserve">Mobile &amp; office phone bill</t>
  </si>
  <si>
    <t xml:space="preserve">Delivery</t>
  </si>
  <si>
    <t xml:space="preserve">Courier charges for customer orders</t>
  </si>
  <si>
    <t xml:space="preserve">Bank Charges</t>
  </si>
  <si>
    <t xml:space="preserve">Bank account service charges</t>
  </si>
  <si>
    <t xml:space="preserve">Fuel for supplier pickup</t>
  </si>
  <si>
    <t xml:space="preserve">Courier charges - bulk order</t>
  </si>
  <si>
    <t xml:space="preserve">Printer ink and paper</t>
  </si>
  <si>
    <t xml:space="preserve">TechBridge Distributors — Monthly Sales &amp; Expense Summary</t>
  </si>
  <si>
    <t xml:space="preserve">Accounting Period: September 2026   |   Currency: PKR   |   Fictional company for portfolio/learning purposes</t>
  </si>
  <si>
    <t xml:space="preserve">1. KEY TOTALS</t>
  </si>
  <si>
    <t xml:space="preserve">Sales by Product</t>
  </si>
  <si>
    <t xml:space="preserve">Total Sales (PKR)</t>
  </si>
  <si>
    <t xml:space="preserve">Total Purchases</t>
  </si>
  <si>
    <t xml:space="preserve">Total Expenses</t>
  </si>
  <si>
    <t xml:space="preserve">Total Amount Received (from customers)</t>
  </si>
  <si>
    <t xml:space="preserve">Total Amount Paid (to suppliers)</t>
  </si>
  <si>
    <t xml:space="preserve">2. RECEIVABLES &amp; PAYABLES</t>
  </si>
  <si>
    <t xml:space="preserve">Accounts Receivable (owed by customers)</t>
  </si>
  <si>
    <t xml:space="preserve">Accounts Payable (owed to suppliers)</t>
  </si>
  <si>
    <t xml:space="preserve">Expenses by Category</t>
  </si>
  <si>
    <t xml:space="preserve">Customer Collection Status</t>
  </si>
  <si>
    <t xml:space="preserve">Category</t>
  </si>
  <si>
    <t xml:space="preserve">Total Amount (PKR)</t>
  </si>
  <si>
    <t xml:space="preserve">Supplier Payment Status</t>
  </si>
  <si>
    <t xml:space="preserve">3. PROFITABILITY</t>
  </si>
  <si>
    <t xml:space="preserve">Estimated Gross Profit  (Total Sales − Total Purchases)</t>
  </si>
  <si>
    <t xml:space="preserve">Net Profit  (Gross Profit − Total Expenses)</t>
  </si>
  <si>
    <t xml:space="preserve">Note: Gross Profit here is estimated as Total Sales minus Total Purchases for the month, since this beginner-level project does not track opening/closing inventory. A full accounting system would use Cost of Goods Sold instead of total purchases.</t>
  </si>
  <si>
    <t xml:space="preserve">4. INVOICE ACTIVITY</t>
  </si>
  <si>
    <t xml:space="preserve">Number of Cash Sales Invoices</t>
  </si>
  <si>
    <t xml:space="preserve">Number of Credit Sales Invoices</t>
  </si>
  <si>
    <t xml:space="preserve">Number of Cash Purchases</t>
  </si>
  <si>
    <t xml:space="preserve">Number of Credit Purchases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</si>
</sst>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&quot; PKR&quot;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8EA9DB"/>
        <bgColor rgb="FF99CCFF"/>
      </patternFill>
    </fill>
    <fill>
      <patternFill patternType="solid">
        <fgColor rgb="FFD9E2F3"/>
        <bgColor rgb="FFD9D9D9"/>
      </patternFill>
    </fill>
    <fill>
      <patternFill patternType="solid">
        <fgColor rgb="FFC6E0B4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Summary!G5</c:f>
              <c:strCache>
                <c:ptCount val="1"/>
                <c:pt idx="0">
                  <c:v>Total Sales (PKR)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Summary!$F$6:$F$11</c:f>
              <c:strCache>
                <c:ptCount val="6"/>
                <c:pt idx="0">
                  <c:v>Keyboard</c:v>
                </c:pt>
                <c:pt idx="1">
                  <c:v>Mouse</c:v>
                </c:pt>
                <c:pt idx="2">
                  <c:v>Headphones</c:v>
                </c:pt>
                <c:pt idx="3">
                  <c:v>Webcam</c:v>
                </c:pt>
                <c:pt idx="4">
                  <c:v>USB Drive</c:v>
                </c:pt>
                <c:pt idx="5">
                  <c:v>Power Bank</c:v>
                </c:pt>
              </c:strCache>
            </c:strRef>
          </c:cat>
          <c:val>
            <c:numRef>
              <c:f>Summary!$G$6:$G$11</c:f>
              <c:numCache>
                <c:formatCode>#,##0" PKR"</c:formatCode>
                <c:ptCount val="6"/>
                <c:pt idx="0">
                  <c:v>100800</c:v>
                </c:pt>
                <c:pt idx="1">
                  <c:v>63900</c:v>
                </c:pt>
                <c:pt idx="2">
                  <c:v>87500</c:v>
                </c:pt>
                <c:pt idx="3">
                  <c:v>70400</c:v>
                </c:pt>
                <c:pt idx="4">
                  <c:v>72750</c:v>
                </c:pt>
                <c:pt idx="5">
                  <c:v>98000</c:v>
                </c:pt>
              </c:numCache>
            </c:numRef>
          </c:val>
        </c:ser>
        <c:gapWidth val="150"/>
        <c:overlap val="0"/>
        <c:axId val="33646084"/>
        <c:axId val="71099007"/>
      </c:barChart>
      <c:catAx>
        <c:axId val="336460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99007"/>
        <c:crosses val="autoZero"/>
        <c:auto val="1"/>
        <c:lblAlgn val="ctr"/>
        <c:lblOffset val="100"/>
        <c:noMultiLvlLbl val="0"/>
      </c:catAx>
      <c:valAx>
        <c:axId val="71099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Sales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PKR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460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Summary!G14</c:f>
              <c:strCache>
                <c:ptCount val="1"/>
                <c:pt idx="0">
                  <c:v>Total Amount (PKR)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Summary!$F$15:$F$22</c:f>
              <c:strCache>
                <c:ptCount val="8"/>
                <c:pt idx="0">
                  <c:v>Rent</c:v>
                </c:pt>
                <c:pt idx="1">
                  <c:v>Electricity</c:v>
                </c:pt>
                <c:pt idx="2">
                  <c:v>Internet</c:v>
                </c:pt>
                <c:pt idx="3">
                  <c:v>Transportation</c:v>
                </c:pt>
                <c:pt idx="4">
                  <c:v>Office Supplies</c:v>
                </c:pt>
                <c:pt idx="5">
                  <c:v>Telephone</c:v>
                </c:pt>
                <c:pt idx="6">
                  <c:v>Delivery</c:v>
                </c:pt>
                <c:pt idx="7">
                  <c:v>Bank Charges</c:v>
                </c:pt>
              </c:strCache>
            </c:strRef>
          </c:cat>
          <c:val>
            <c:numRef>
              <c:f>Summary!$G$15:$G$22</c:f>
              <c:numCache>
                <c:formatCode>#,##0" PKR"</c:formatCode>
                <c:ptCount val="8"/>
                <c:pt idx="0">
                  <c:v>35000</c:v>
                </c:pt>
                <c:pt idx="1">
                  <c:v>7000</c:v>
                </c:pt>
                <c:pt idx="2">
                  <c:v>4500</c:v>
                </c:pt>
                <c:pt idx="3">
                  <c:v>5700</c:v>
                </c:pt>
                <c:pt idx="4">
                  <c:v>3900</c:v>
                </c:pt>
                <c:pt idx="5">
                  <c:v>1800</c:v>
                </c:pt>
                <c:pt idx="6">
                  <c:v>6300</c:v>
                </c:pt>
                <c:pt idx="7">
                  <c:v>600</c:v>
                </c:pt>
              </c:numCache>
            </c:numRef>
          </c:val>
        </c:ser>
        <c:gapWidth val="150"/>
        <c:overlap val="0"/>
        <c:axId val="20729843"/>
        <c:axId val="10356163"/>
      </c:barChart>
      <c:catAx>
        <c:axId val="20729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56163"/>
        <c:crosses val="autoZero"/>
        <c:auto val="1"/>
        <c:lblAlgn val="ctr"/>
        <c:lblOffset val="100"/>
        <c:noMultiLvlLbl val="0"/>
      </c:catAx>
      <c:valAx>
        <c:axId val="10356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(PKR)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PKR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298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147600</xdr:colOff>
      <xdr:row>17</xdr:row>
      <xdr:rowOff>41400</xdr:rowOff>
    </xdr:to>
    <xdr:graphicFrame>
      <xdr:nvGraphicFramePr>
        <xdr:cNvPr id="0" name="Chart 1"/>
        <xdr:cNvGraphicFramePr/>
      </xdr:nvGraphicFramePr>
      <xdr:xfrm>
        <a:off x="9822240" y="6573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12</xdr:row>
      <xdr:rowOff>0</xdr:rowOff>
    </xdr:from>
    <xdr:to>
      <xdr:col>16</xdr:col>
      <xdr:colOff>147600</xdr:colOff>
      <xdr:row>25</xdr:row>
      <xdr:rowOff>127080</xdr:rowOff>
    </xdr:to>
    <xdr:graphicFrame>
      <xdr:nvGraphicFramePr>
        <xdr:cNvPr id="1" name="Chart 2"/>
        <xdr:cNvGraphicFramePr/>
      </xdr:nvGraphicFramePr>
      <xdr:xfrm>
        <a:off x="9822240" y="248616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46266</v>
      </c>
      <c r="B2" s="3" t="s">
        <v>10</v>
      </c>
      <c r="C2" s="3" t="s">
        <v>11</v>
      </c>
      <c r="D2" s="3" t="s">
        <v>12</v>
      </c>
      <c r="E2" s="3" t="n">
        <v>10</v>
      </c>
      <c r="F2" s="4" t="n">
        <v>1800</v>
      </c>
      <c r="G2" s="4" t="n">
        <f aca="false">E2*F2</f>
        <v>18000</v>
      </c>
      <c r="H2" s="3" t="s">
        <v>13</v>
      </c>
      <c r="I2" s="4" t="n">
        <f aca="false">G2</f>
        <v>18000</v>
      </c>
      <c r="J2" s="4" t="n">
        <f aca="false">G2-I2</f>
        <v>0</v>
      </c>
    </row>
    <row r="3" customFormat="false" ht="15" hidden="false" customHeight="false" outlineLevel="0" collapsed="false">
      <c r="A3" s="2" t="n">
        <v>46266</v>
      </c>
      <c r="B3" s="3" t="s">
        <v>14</v>
      </c>
      <c r="C3" s="3" t="s">
        <v>15</v>
      </c>
      <c r="D3" s="3" t="s">
        <v>16</v>
      </c>
      <c r="E3" s="3" t="n">
        <v>15</v>
      </c>
      <c r="F3" s="4" t="n">
        <v>900</v>
      </c>
      <c r="G3" s="4" t="n">
        <f aca="false">E3*F3</f>
        <v>13500</v>
      </c>
      <c r="H3" s="3" t="s">
        <v>13</v>
      </c>
      <c r="I3" s="4" t="n">
        <f aca="false">G3</f>
        <v>13500</v>
      </c>
      <c r="J3" s="4" t="n">
        <f aca="false">G3-I3</f>
        <v>0</v>
      </c>
    </row>
    <row r="4" customFormat="false" ht="15" hidden="false" customHeight="false" outlineLevel="0" collapsed="false">
      <c r="A4" s="2" t="n">
        <v>46267</v>
      </c>
      <c r="B4" s="3" t="s">
        <v>17</v>
      </c>
      <c r="C4" s="3" t="s">
        <v>18</v>
      </c>
      <c r="D4" s="3" t="s">
        <v>19</v>
      </c>
      <c r="E4" s="3" t="n">
        <v>8</v>
      </c>
      <c r="F4" s="4" t="n">
        <v>2500</v>
      </c>
      <c r="G4" s="4" t="n">
        <f aca="false">E4*F4</f>
        <v>20000</v>
      </c>
      <c r="H4" s="3" t="s">
        <v>20</v>
      </c>
      <c r="I4" s="4" t="n">
        <v>10000</v>
      </c>
      <c r="J4" s="4" t="n">
        <f aca="false">G4-I4</f>
        <v>10000</v>
      </c>
    </row>
    <row r="5" customFormat="false" ht="15" hidden="false" customHeight="false" outlineLevel="0" collapsed="false">
      <c r="A5" s="2" t="n">
        <v>46267</v>
      </c>
      <c r="B5" s="3" t="s">
        <v>21</v>
      </c>
      <c r="C5" s="3" t="s">
        <v>22</v>
      </c>
      <c r="D5" s="3" t="s">
        <v>23</v>
      </c>
      <c r="E5" s="3" t="n">
        <v>5</v>
      </c>
      <c r="F5" s="4" t="n">
        <v>3200</v>
      </c>
      <c r="G5" s="4" t="n">
        <f aca="false">E5*F5</f>
        <v>16000</v>
      </c>
      <c r="H5" s="3" t="s">
        <v>13</v>
      </c>
      <c r="I5" s="4" t="n">
        <f aca="false">G5</f>
        <v>16000</v>
      </c>
      <c r="J5" s="4" t="n">
        <f aca="false">G5-I5</f>
        <v>0</v>
      </c>
    </row>
    <row r="6" customFormat="false" ht="15" hidden="false" customHeight="false" outlineLevel="0" collapsed="false">
      <c r="A6" s="2" t="n">
        <v>46268</v>
      </c>
      <c r="B6" s="3" t="s">
        <v>24</v>
      </c>
      <c r="C6" s="3" t="s">
        <v>25</v>
      </c>
      <c r="D6" s="3" t="s">
        <v>26</v>
      </c>
      <c r="E6" s="3" t="n">
        <v>20</v>
      </c>
      <c r="F6" s="4" t="n">
        <v>750</v>
      </c>
      <c r="G6" s="4" t="n">
        <f aca="false">E6*F6</f>
        <v>15000</v>
      </c>
      <c r="H6" s="3" t="s">
        <v>20</v>
      </c>
      <c r="I6" s="4" t="n">
        <v>0</v>
      </c>
      <c r="J6" s="4" t="n">
        <f aca="false">G6-I6</f>
        <v>15000</v>
      </c>
    </row>
    <row r="7" customFormat="false" ht="15" hidden="false" customHeight="false" outlineLevel="0" collapsed="false">
      <c r="A7" s="2" t="n">
        <v>46268</v>
      </c>
      <c r="B7" s="3" t="s">
        <v>27</v>
      </c>
      <c r="C7" s="3" t="s">
        <v>28</v>
      </c>
      <c r="D7" s="3" t="s">
        <v>29</v>
      </c>
      <c r="E7" s="3" t="n">
        <v>6</v>
      </c>
      <c r="F7" s="4" t="n">
        <v>2800</v>
      </c>
      <c r="G7" s="4" t="n">
        <f aca="false">E7*F7</f>
        <v>16800</v>
      </c>
      <c r="H7" s="3" t="s">
        <v>13</v>
      </c>
      <c r="I7" s="4" t="n">
        <f aca="false">G7</f>
        <v>16800</v>
      </c>
      <c r="J7" s="4" t="n">
        <f aca="false">G7-I7</f>
        <v>0</v>
      </c>
    </row>
    <row r="8" customFormat="false" ht="15" hidden="false" customHeight="false" outlineLevel="0" collapsed="false">
      <c r="A8" s="2" t="n">
        <v>46269</v>
      </c>
      <c r="B8" s="3" t="s">
        <v>30</v>
      </c>
      <c r="C8" s="3" t="s">
        <v>31</v>
      </c>
      <c r="D8" s="3" t="s">
        <v>12</v>
      </c>
      <c r="E8" s="3" t="n">
        <v>12</v>
      </c>
      <c r="F8" s="4" t="n">
        <v>1800</v>
      </c>
      <c r="G8" s="4" t="n">
        <f aca="false">E8*F8</f>
        <v>21600</v>
      </c>
      <c r="H8" s="3" t="s">
        <v>20</v>
      </c>
      <c r="I8" s="4" t="n">
        <v>10000</v>
      </c>
      <c r="J8" s="4" t="n">
        <f aca="false">G8-I8</f>
        <v>11600</v>
      </c>
    </row>
    <row r="9" customFormat="false" ht="15" hidden="false" customHeight="false" outlineLevel="0" collapsed="false">
      <c r="A9" s="2" t="n">
        <v>46269</v>
      </c>
      <c r="B9" s="3" t="s">
        <v>32</v>
      </c>
      <c r="C9" s="3" t="s">
        <v>33</v>
      </c>
      <c r="D9" s="3" t="s">
        <v>16</v>
      </c>
      <c r="E9" s="3" t="n">
        <v>10</v>
      </c>
      <c r="F9" s="4" t="n">
        <v>900</v>
      </c>
      <c r="G9" s="4" t="n">
        <f aca="false">E9*F9</f>
        <v>9000</v>
      </c>
      <c r="H9" s="3" t="s">
        <v>13</v>
      </c>
      <c r="I9" s="4" t="n">
        <f aca="false">G9</f>
        <v>9000</v>
      </c>
      <c r="J9" s="4" t="n">
        <f aca="false">G9-I9</f>
        <v>0</v>
      </c>
    </row>
    <row r="10" customFormat="false" ht="15" hidden="false" customHeight="false" outlineLevel="0" collapsed="false">
      <c r="A10" s="2" t="n">
        <v>46270</v>
      </c>
      <c r="B10" s="3" t="s">
        <v>34</v>
      </c>
      <c r="C10" s="3" t="s">
        <v>35</v>
      </c>
      <c r="D10" s="3" t="s">
        <v>19</v>
      </c>
      <c r="E10" s="3" t="n">
        <v>4</v>
      </c>
      <c r="F10" s="4" t="n">
        <v>2500</v>
      </c>
      <c r="G10" s="4" t="n">
        <f aca="false">E10*F10</f>
        <v>10000</v>
      </c>
      <c r="H10" s="3" t="s">
        <v>13</v>
      </c>
      <c r="I10" s="4" t="n">
        <f aca="false">G10</f>
        <v>10000</v>
      </c>
      <c r="J10" s="4" t="n">
        <f aca="false">G10-I10</f>
        <v>0</v>
      </c>
    </row>
    <row r="11" customFormat="false" ht="15" hidden="false" customHeight="false" outlineLevel="0" collapsed="false">
      <c r="A11" s="2" t="n">
        <v>46270</v>
      </c>
      <c r="B11" s="3" t="s">
        <v>36</v>
      </c>
      <c r="C11" s="3" t="s">
        <v>37</v>
      </c>
      <c r="D11" s="3" t="s">
        <v>23</v>
      </c>
      <c r="E11" s="3" t="n">
        <v>7</v>
      </c>
      <c r="F11" s="4" t="n">
        <v>3200</v>
      </c>
      <c r="G11" s="4" t="n">
        <f aca="false">E11*F11</f>
        <v>22400</v>
      </c>
      <c r="H11" s="3" t="s">
        <v>20</v>
      </c>
      <c r="I11" s="4" t="n">
        <v>0</v>
      </c>
      <c r="J11" s="4" t="n">
        <f aca="false">G11-I11</f>
        <v>22400</v>
      </c>
    </row>
    <row r="12" customFormat="false" ht="15" hidden="false" customHeight="false" outlineLevel="0" collapsed="false">
      <c r="A12" s="2" t="n">
        <v>46273</v>
      </c>
      <c r="B12" s="3" t="s">
        <v>38</v>
      </c>
      <c r="C12" s="3" t="s">
        <v>39</v>
      </c>
      <c r="D12" s="3" t="s">
        <v>26</v>
      </c>
      <c r="E12" s="3" t="n">
        <v>25</v>
      </c>
      <c r="F12" s="4" t="n">
        <v>750</v>
      </c>
      <c r="G12" s="4" t="n">
        <f aca="false">E12*F12</f>
        <v>18750</v>
      </c>
      <c r="H12" s="3" t="s">
        <v>13</v>
      </c>
      <c r="I12" s="4" t="n">
        <f aca="false">G12</f>
        <v>18750</v>
      </c>
      <c r="J12" s="4" t="n">
        <f aca="false">G12-I12</f>
        <v>0</v>
      </c>
    </row>
    <row r="13" customFormat="false" ht="15" hidden="false" customHeight="false" outlineLevel="0" collapsed="false">
      <c r="A13" s="2" t="n">
        <v>46273</v>
      </c>
      <c r="B13" s="3" t="s">
        <v>40</v>
      </c>
      <c r="C13" s="3" t="s">
        <v>41</v>
      </c>
      <c r="D13" s="3" t="s">
        <v>29</v>
      </c>
      <c r="E13" s="3" t="n">
        <v>8</v>
      </c>
      <c r="F13" s="4" t="n">
        <v>2800</v>
      </c>
      <c r="G13" s="4" t="n">
        <f aca="false">E13*F13</f>
        <v>22400</v>
      </c>
      <c r="H13" s="3" t="s">
        <v>20</v>
      </c>
      <c r="I13" s="4" t="n">
        <v>12000</v>
      </c>
      <c r="J13" s="4" t="n">
        <f aca="false">G13-I13</f>
        <v>10400</v>
      </c>
    </row>
    <row r="14" customFormat="false" ht="15" hidden="false" customHeight="false" outlineLevel="0" collapsed="false">
      <c r="A14" s="2" t="n">
        <v>46274</v>
      </c>
      <c r="B14" s="3" t="s">
        <v>42</v>
      </c>
      <c r="C14" s="3" t="s">
        <v>11</v>
      </c>
      <c r="D14" s="3" t="s">
        <v>16</v>
      </c>
      <c r="E14" s="3" t="n">
        <v>18</v>
      </c>
      <c r="F14" s="4" t="n">
        <v>900</v>
      </c>
      <c r="G14" s="4" t="n">
        <f aca="false">E14*F14</f>
        <v>16200</v>
      </c>
      <c r="H14" s="3" t="s">
        <v>13</v>
      </c>
      <c r="I14" s="4" t="n">
        <f aca="false">G14</f>
        <v>16200</v>
      </c>
      <c r="J14" s="4" t="n">
        <f aca="false">G14-I14</f>
        <v>0</v>
      </c>
    </row>
    <row r="15" customFormat="false" ht="15" hidden="false" customHeight="false" outlineLevel="0" collapsed="false">
      <c r="A15" s="2" t="n">
        <v>46274</v>
      </c>
      <c r="B15" s="3" t="s">
        <v>43</v>
      </c>
      <c r="C15" s="3" t="s">
        <v>15</v>
      </c>
      <c r="D15" s="3" t="s">
        <v>12</v>
      </c>
      <c r="E15" s="3" t="n">
        <v>9</v>
      </c>
      <c r="F15" s="4" t="n">
        <v>1800</v>
      </c>
      <c r="G15" s="4" t="n">
        <f aca="false">E15*F15</f>
        <v>16200</v>
      </c>
      <c r="H15" s="3" t="s">
        <v>20</v>
      </c>
      <c r="I15" s="4" t="n">
        <v>0</v>
      </c>
      <c r="J15" s="4" t="n">
        <f aca="false">G15-I15</f>
        <v>16200</v>
      </c>
    </row>
    <row r="16" customFormat="false" ht="15" hidden="false" customHeight="false" outlineLevel="0" collapsed="false">
      <c r="A16" s="2" t="n">
        <v>46275</v>
      </c>
      <c r="B16" s="3" t="s">
        <v>44</v>
      </c>
      <c r="C16" s="3" t="s">
        <v>18</v>
      </c>
      <c r="D16" s="3" t="s">
        <v>23</v>
      </c>
      <c r="E16" s="3" t="n">
        <v>6</v>
      </c>
      <c r="F16" s="4" t="n">
        <v>3200</v>
      </c>
      <c r="G16" s="4" t="n">
        <f aca="false">E16*F16</f>
        <v>19200</v>
      </c>
      <c r="H16" s="3" t="s">
        <v>13</v>
      </c>
      <c r="I16" s="4" t="n">
        <f aca="false">G16</f>
        <v>19200</v>
      </c>
      <c r="J16" s="4" t="n">
        <f aca="false">G16-I16</f>
        <v>0</v>
      </c>
    </row>
    <row r="17" customFormat="false" ht="15" hidden="false" customHeight="false" outlineLevel="0" collapsed="false">
      <c r="A17" s="2" t="n">
        <v>46275</v>
      </c>
      <c r="B17" s="3" t="s">
        <v>45</v>
      </c>
      <c r="C17" s="3" t="s">
        <v>22</v>
      </c>
      <c r="D17" s="3" t="s">
        <v>19</v>
      </c>
      <c r="E17" s="3" t="n">
        <v>10</v>
      </c>
      <c r="F17" s="4" t="n">
        <v>2500</v>
      </c>
      <c r="G17" s="4" t="n">
        <f aca="false">E17*F17</f>
        <v>25000</v>
      </c>
      <c r="H17" s="3" t="s">
        <v>20</v>
      </c>
      <c r="I17" s="4" t="n">
        <v>15000</v>
      </c>
      <c r="J17" s="4" t="n">
        <f aca="false">G17-I17</f>
        <v>10000</v>
      </c>
    </row>
    <row r="18" customFormat="false" ht="15" hidden="false" customHeight="false" outlineLevel="0" collapsed="false">
      <c r="A18" s="2" t="n">
        <v>46276</v>
      </c>
      <c r="B18" s="3" t="s">
        <v>46</v>
      </c>
      <c r="C18" s="3" t="s">
        <v>25</v>
      </c>
      <c r="D18" s="3" t="s">
        <v>29</v>
      </c>
      <c r="E18" s="3" t="n">
        <v>5</v>
      </c>
      <c r="F18" s="4" t="n">
        <v>2800</v>
      </c>
      <c r="G18" s="4" t="n">
        <f aca="false">E18*F18</f>
        <v>14000</v>
      </c>
      <c r="H18" s="3" t="s">
        <v>13</v>
      </c>
      <c r="I18" s="4" t="n">
        <f aca="false">G18</f>
        <v>14000</v>
      </c>
      <c r="J18" s="4" t="n">
        <f aca="false">G18-I18</f>
        <v>0</v>
      </c>
    </row>
    <row r="19" customFormat="false" ht="15" hidden="false" customHeight="false" outlineLevel="0" collapsed="false">
      <c r="A19" s="2" t="n">
        <v>46276</v>
      </c>
      <c r="B19" s="3" t="s">
        <v>47</v>
      </c>
      <c r="C19" s="3" t="s">
        <v>28</v>
      </c>
      <c r="D19" s="3" t="s">
        <v>26</v>
      </c>
      <c r="E19" s="3" t="n">
        <v>30</v>
      </c>
      <c r="F19" s="4" t="n">
        <v>750</v>
      </c>
      <c r="G19" s="4" t="n">
        <f aca="false">E19*F19</f>
        <v>22500</v>
      </c>
      <c r="H19" s="3" t="s">
        <v>13</v>
      </c>
      <c r="I19" s="4" t="n">
        <f aca="false">G19</f>
        <v>22500</v>
      </c>
      <c r="J19" s="4" t="n">
        <f aca="false">G19-I19</f>
        <v>0</v>
      </c>
    </row>
    <row r="20" customFormat="false" ht="15" hidden="false" customHeight="false" outlineLevel="0" collapsed="false">
      <c r="A20" s="2" t="n">
        <v>46277</v>
      </c>
      <c r="B20" s="3" t="s">
        <v>48</v>
      </c>
      <c r="C20" s="3" t="s">
        <v>31</v>
      </c>
      <c r="D20" s="3" t="s">
        <v>16</v>
      </c>
      <c r="E20" s="3" t="n">
        <v>12</v>
      </c>
      <c r="F20" s="4" t="n">
        <v>900</v>
      </c>
      <c r="G20" s="4" t="n">
        <f aca="false">E20*F20</f>
        <v>10800</v>
      </c>
      <c r="H20" s="3" t="s">
        <v>20</v>
      </c>
      <c r="I20" s="4" t="n">
        <v>0</v>
      </c>
      <c r="J20" s="4" t="n">
        <f aca="false">G20-I20</f>
        <v>10800</v>
      </c>
    </row>
    <row r="21" customFormat="false" ht="15" hidden="false" customHeight="false" outlineLevel="0" collapsed="false">
      <c r="A21" s="2" t="n">
        <v>46279</v>
      </c>
      <c r="B21" s="3" t="s">
        <v>49</v>
      </c>
      <c r="C21" s="3" t="s">
        <v>33</v>
      </c>
      <c r="D21" s="3" t="s">
        <v>19</v>
      </c>
      <c r="E21" s="3" t="n">
        <v>6</v>
      </c>
      <c r="F21" s="4" t="n">
        <v>2500</v>
      </c>
      <c r="G21" s="4" t="n">
        <f aca="false">E21*F21</f>
        <v>15000</v>
      </c>
      <c r="H21" s="3" t="s">
        <v>13</v>
      </c>
      <c r="I21" s="4" t="n">
        <f aca="false">G21</f>
        <v>15000</v>
      </c>
      <c r="J21" s="4" t="n">
        <f aca="false">G21-I21</f>
        <v>0</v>
      </c>
    </row>
    <row r="22" customFormat="false" ht="15" hidden="false" customHeight="false" outlineLevel="0" collapsed="false">
      <c r="A22" s="2" t="n">
        <v>46280</v>
      </c>
      <c r="B22" s="3" t="s">
        <v>50</v>
      </c>
      <c r="C22" s="3" t="s">
        <v>35</v>
      </c>
      <c r="D22" s="3" t="s">
        <v>12</v>
      </c>
      <c r="E22" s="3" t="n">
        <v>14</v>
      </c>
      <c r="F22" s="4" t="n">
        <v>1800</v>
      </c>
      <c r="G22" s="4" t="n">
        <f aca="false">E22*F22</f>
        <v>25200</v>
      </c>
      <c r="H22" s="3" t="s">
        <v>20</v>
      </c>
      <c r="I22" s="4" t="n">
        <v>10000</v>
      </c>
      <c r="J22" s="4" t="n">
        <f aca="false">G22-I22</f>
        <v>15200</v>
      </c>
    </row>
    <row r="23" customFormat="false" ht="15" hidden="false" customHeight="false" outlineLevel="0" collapsed="false">
      <c r="A23" s="2" t="n">
        <v>46281</v>
      </c>
      <c r="B23" s="3" t="s">
        <v>51</v>
      </c>
      <c r="C23" s="3" t="s">
        <v>37</v>
      </c>
      <c r="D23" s="3" t="s">
        <v>23</v>
      </c>
      <c r="E23" s="3" t="n">
        <v>4</v>
      </c>
      <c r="F23" s="4" t="n">
        <v>3200</v>
      </c>
      <c r="G23" s="4" t="n">
        <f aca="false">E23*F23</f>
        <v>12800</v>
      </c>
      <c r="H23" s="3" t="s">
        <v>13</v>
      </c>
      <c r="I23" s="4" t="n">
        <f aca="false">G23</f>
        <v>12800</v>
      </c>
      <c r="J23" s="4" t="n">
        <f aca="false">G23-I23</f>
        <v>0</v>
      </c>
    </row>
    <row r="24" customFormat="false" ht="15" hidden="false" customHeight="false" outlineLevel="0" collapsed="false">
      <c r="A24" s="2" t="n">
        <v>46282</v>
      </c>
      <c r="B24" s="3" t="s">
        <v>52</v>
      </c>
      <c r="C24" s="3" t="s">
        <v>39</v>
      </c>
      <c r="D24" s="3" t="s">
        <v>29</v>
      </c>
      <c r="E24" s="3" t="n">
        <v>9</v>
      </c>
      <c r="F24" s="4" t="n">
        <v>2800</v>
      </c>
      <c r="G24" s="4" t="n">
        <f aca="false">E24*F24</f>
        <v>25200</v>
      </c>
      <c r="H24" s="3" t="s">
        <v>20</v>
      </c>
      <c r="I24" s="4" t="n">
        <v>0</v>
      </c>
      <c r="J24" s="4" t="n">
        <f aca="false">G24-I24</f>
        <v>25200</v>
      </c>
    </row>
    <row r="25" customFormat="false" ht="15" hidden="false" customHeight="false" outlineLevel="0" collapsed="false">
      <c r="A25" s="2" t="n">
        <v>46283</v>
      </c>
      <c r="B25" s="3" t="s">
        <v>53</v>
      </c>
      <c r="C25" s="3" t="s">
        <v>41</v>
      </c>
      <c r="D25" s="3" t="s">
        <v>26</v>
      </c>
      <c r="E25" s="3" t="n">
        <v>22</v>
      </c>
      <c r="F25" s="4" t="n">
        <v>750</v>
      </c>
      <c r="G25" s="4" t="n">
        <f aca="false">E25*F25</f>
        <v>16500</v>
      </c>
      <c r="H25" s="3" t="s">
        <v>13</v>
      </c>
      <c r="I25" s="4" t="n">
        <f aca="false">G25</f>
        <v>16500</v>
      </c>
      <c r="J25" s="4" t="n">
        <f aca="false">G25-I25</f>
        <v>0</v>
      </c>
    </row>
    <row r="26" customFormat="false" ht="15" hidden="false" customHeight="false" outlineLevel="0" collapsed="false">
      <c r="A26" s="2" t="n">
        <v>46286</v>
      </c>
      <c r="B26" s="3" t="s">
        <v>54</v>
      </c>
      <c r="C26" s="3" t="s">
        <v>11</v>
      </c>
      <c r="D26" s="3" t="s">
        <v>19</v>
      </c>
      <c r="E26" s="3" t="n">
        <v>7</v>
      </c>
      <c r="F26" s="4" t="n">
        <v>2500</v>
      </c>
      <c r="G26" s="4" t="n">
        <f aca="false">E26*F26</f>
        <v>17500</v>
      </c>
      <c r="H26" s="3" t="s">
        <v>13</v>
      </c>
      <c r="I26" s="4" t="n">
        <f aca="false">G26</f>
        <v>17500</v>
      </c>
      <c r="J26" s="4" t="n">
        <f aca="false">G26-I26</f>
        <v>0</v>
      </c>
    </row>
    <row r="27" customFormat="false" ht="15" hidden="false" customHeight="false" outlineLevel="0" collapsed="false">
      <c r="A27" s="2" t="n">
        <v>46288</v>
      </c>
      <c r="B27" s="3" t="s">
        <v>55</v>
      </c>
      <c r="C27" s="3" t="s">
        <v>15</v>
      </c>
      <c r="D27" s="3" t="s">
        <v>16</v>
      </c>
      <c r="E27" s="3" t="n">
        <v>16</v>
      </c>
      <c r="F27" s="4" t="n">
        <v>900</v>
      </c>
      <c r="G27" s="4" t="n">
        <f aca="false">E27*F27</f>
        <v>14400</v>
      </c>
      <c r="H27" s="3" t="s">
        <v>20</v>
      </c>
      <c r="I27" s="4" t="n">
        <v>8000</v>
      </c>
      <c r="J27" s="4" t="n">
        <f aca="false">G27-I27</f>
        <v>6400</v>
      </c>
    </row>
    <row r="28" customFormat="false" ht="15" hidden="false" customHeight="false" outlineLevel="0" collapsed="false">
      <c r="A28" s="2" t="n">
        <v>46290</v>
      </c>
      <c r="B28" s="3" t="s">
        <v>56</v>
      </c>
      <c r="C28" s="3" t="s">
        <v>18</v>
      </c>
      <c r="D28" s="3" t="s">
        <v>12</v>
      </c>
      <c r="E28" s="3" t="n">
        <v>11</v>
      </c>
      <c r="F28" s="4" t="n">
        <v>1800</v>
      </c>
      <c r="G28" s="4" t="n">
        <f aca="false">E28*F28</f>
        <v>19800</v>
      </c>
      <c r="H28" s="3" t="s">
        <v>13</v>
      </c>
      <c r="I28" s="4" t="n">
        <f aca="false">G28</f>
        <v>19800</v>
      </c>
      <c r="J28" s="4" t="n">
        <f aca="false">G28-I28</f>
        <v>0</v>
      </c>
    </row>
    <row r="29" customFormat="false" ht="15" hidden="false" customHeight="false" outlineLevel="0" collapsed="false">
      <c r="A29" s="2" t="n">
        <v>46293</v>
      </c>
      <c r="B29" s="3" t="s">
        <v>57</v>
      </c>
      <c r="C29" s="3" t="s">
        <v>22</v>
      </c>
      <c r="D29" s="3" t="s">
        <v>29</v>
      </c>
      <c r="E29" s="3" t="n">
        <v>7</v>
      </c>
      <c r="F29" s="4" t="n">
        <v>2800</v>
      </c>
      <c r="G29" s="4" t="n">
        <f aca="false">E29*F29</f>
        <v>19600</v>
      </c>
      <c r="H29" s="3" t="s">
        <v>20</v>
      </c>
      <c r="I29" s="4" t="n">
        <v>0</v>
      </c>
      <c r="J29" s="4" t="n">
        <f aca="false">G29-I29</f>
        <v>19600</v>
      </c>
    </row>
    <row r="30" customFormat="false" ht="15" hidden="false" customHeight="false" outlineLevel="0" collapsed="false">
      <c r="F30" s="5" t="s">
        <v>58</v>
      </c>
      <c r="G30" s="6" t="n">
        <f aca="false">SUM(G2:G29)</f>
        <v>493350</v>
      </c>
      <c r="I30" s="6" t="n">
        <f aca="false">SUM(I2:I29)</f>
        <v>320550</v>
      </c>
      <c r="J30" s="6" t="n">
        <f aca="false">SUM(J2:J29)</f>
        <v>172800</v>
      </c>
    </row>
  </sheetData>
  <autoFilter ref="A1:J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3"/>
  </cols>
  <sheetData>
    <row r="1" customFormat="false" ht="23.85" hidden="false" customHeight="false" outlineLevel="0" collapsed="false">
      <c r="A1" s="1" t="s">
        <v>0</v>
      </c>
      <c r="B1" s="1" t="s">
        <v>59</v>
      </c>
      <c r="C1" s="1" t="s">
        <v>60</v>
      </c>
      <c r="D1" s="1" t="s">
        <v>3</v>
      </c>
      <c r="E1" s="1" t="s">
        <v>4</v>
      </c>
      <c r="F1" s="1" t="s">
        <v>61</v>
      </c>
      <c r="G1" s="1" t="s">
        <v>62</v>
      </c>
      <c r="H1" s="1" t="s">
        <v>7</v>
      </c>
      <c r="I1" s="1" t="s">
        <v>63</v>
      </c>
      <c r="J1" s="1" t="s">
        <v>9</v>
      </c>
    </row>
    <row r="2" customFormat="false" ht="15" hidden="false" customHeight="false" outlineLevel="0" collapsed="false">
      <c r="A2" s="2" t="n">
        <v>46266</v>
      </c>
      <c r="B2" s="3" t="s">
        <v>64</v>
      </c>
      <c r="C2" s="3" t="s">
        <v>65</v>
      </c>
      <c r="D2" s="3" t="s">
        <v>12</v>
      </c>
      <c r="E2" s="3" t="n">
        <v>40</v>
      </c>
      <c r="F2" s="4" t="n">
        <v>1300</v>
      </c>
      <c r="G2" s="4" t="n">
        <f aca="false">E2*F2</f>
        <v>52000</v>
      </c>
      <c r="H2" s="3" t="s">
        <v>13</v>
      </c>
      <c r="I2" s="4" t="n">
        <f aca="false">G2</f>
        <v>52000</v>
      </c>
      <c r="J2" s="4" t="n">
        <f aca="false">G2-I2</f>
        <v>0</v>
      </c>
    </row>
    <row r="3" customFormat="false" ht="15" hidden="false" customHeight="false" outlineLevel="0" collapsed="false">
      <c r="A3" s="2" t="n">
        <v>46267</v>
      </c>
      <c r="B3" s="3" t="s">
        <v>66</v>
      </c>
      <c r="C3" s="3" t="s">
        <v>67</v>
      </c>
      <c r="D3" s="3" t="s">
        <v>16</v>
      </c>
      <c r="E3" s="3" t="n">
        <v>60</v>
      </c>
      <c r="F3" s="4" t="n">
        <v>650</v>
      </c>
      <c r="G3" s="4" t="n">
        <f aca="false">E3*F3</f>
        <v>39000</v>
      </c>
      <c r="H3" s="3" t="s">
        <v>20</v>
      </c>
      <c r="I3" s="4" t="n">
        <v>15000</v>
      </c>
      <c r="J3" s="4" t="n">
        <f aca="false">G3-I3</f>
        <v>24000</v>
      </c>
    </row>
    <row r="4" customFormat="false" ht="15" hidden="false" customHeight="false" outlineLevel="0" collapsed="false">
      <c r="A4" s="2" t="n">
        <v>46268</v>
      </c>
      <c r="B4" s="3" t="s">
        <v>68</v>
      </c>
      <c r="C4" s="3" t="s">
        <v>69</v>
      </c>
      <c r="D4" s="3" t="s">
        <v>19</v>
      </c>
      <c r="E4" s="3" t="n">
        <v>30</v>
      </c>
      <c r="F4" s="4" t="n">
        <v>1800</v>
      </c>
      <c r="G4" s="4" t="n">
        <f aca="false">E4*F4</f>
        <v>54000</v>
      </c>
      <c r="H4" s="3" t="s">
        <v>13</v>
      </c>
      <c r="I4" s="4" t="n">
        <f aca="false">G4</f>
        <v>54000</v>
      </c>
      <c r="J4" s="4" t="n">
        <f aca="false">G4-I4</f>
        <v>0</v>
      </c>
    </row>
    <row r="5" customFormat="false" ht="15" hidden="false" customHeight="false" outlineLevel="0" collapsed="false">
      <c r="A5" s="2" t="n">
        <v>46270</v>
      </c>
      <c r="B5" s="3" t="s">
        <v>70</v>
      </c>
      <c r="C5" s="3" t="s">
        <v>71</v>
      </c>
      <c r="D5" s="3" t="s">
        <v>23</v>
      </c>
      <c r="E5" s="3" t="n">
        <v>20</v>
      </c>
      <c r="F5" s="4" t="n">
        <v>2300</v>
      </c>
      <c r="G5" s="4" t="n">
        <f aca="false">E5*F5</f>
        <v>46000</v>
      </c>
      <c r="H5" s="3" t="s">
        <v>20</v>
      </c>
      <c r="I5" s="4" t="n">
        <v>0</v>
      </c>
      <c r="J5" s="4" t="n">
        <f aca="false">G5-I5</f>
        <v>46000</v>
      </c>
    </row>
    <row r="6" customFormat="false" ht="15" hidden="false" customHeight="false" outlineLevel="0" collapsed="false">
      <c r="A6" s="2" t="n">
        <v>46271</v>
      </c>
      <c r="B6" s="3" t="s">
        <v>72</v>
      </c>
      <c r="C6" s="3" t="s">
        <v>73</v>
      </c>
      <c r="D6" s="3" t="s">
        <v>26</v>
      </c>
      <c r="E6" s="3" t="n">
        <v>100</v>
      </c>
      <c r="F6" s="4" t="n">
        <v>500</v>
      </c>
      <c r="G6" s="4" t="n">
        <f aca="false">E6*F6</f>
        <v>50000</v>
      </c>
      <c r="H6" s="3" t="s">
        <v>13</v>
      </c>
      <c r="I6" s="4" t="n">
        <f aca="false">G6</f>
        <v>50000</v>
      </c>
      <c r="J6" s="4" t="n">
        <f aca="false">G6-I6</f>
        <v>0</v>
      </c>
    </row>
    <row r="7" customFormat="false" ht="15" hidden="false" customHeight="false" outlineLevel="0" collapsed="false">
      <c r="A7" s="2" t="n">
        <v>46273</v>
      </c>
      <c r="B7" s="3" t="s">
        <v>74</v>
      </c>
      <c r="C7" s="3" t="s">
        <v>65</v>
      </c>
      <c r="D7" s="3" t="s">
        <v>29</v>
      </c>
      <c r="E7" s="3" t="n">
        <v>25</v>
      </c>
      <c r="F7" s="4" t="n">
        <v>2000</v>
      </c>
      <c r="G7" s="4" t="n">
        <f aca="false">E7*F7</f>
        <v>50000</v>
      </c>
      <c r="H7" s="3" t="s">
        <v>20</v>
      </c>
      <c r="I7" s="4" t="n">
        <v>20000</v>
      </c>
      <c r="J7" s="4" t="n">
        <f aca="false">G7-I7</f>
        <v>30000</v>
      </c>
    </row>
    <row r="8" customFormat="false" ht="15" hidden="false" customHeight="false" outlineLevel="0" collapsed="false">
      <c r="A8" s="2" t="n">
        <v>46276</v>
      </c>
      <c r="B8" s="3" t="s">
        <v>75</v>
      </c>
      <c r="C8" s="3" t="s">
        <v>67</v>
      </c>
      <c r="D8" s="3" t="s">
        <v>12</v>
      </c>
      <c r="E8" s="3" t="n">
        <v>20</v>
      </c>
      <c r="F8" s="4" t="n">
        <v>1300</v>
      </c>
      <c r="G8" s="4" t="n">
        <f aca="false">E8*F8</f>
        <v>26000</v>
      </c>
      <c r="H8" s="3" t="s">
        <v>13</v>
      </c>
      <c r="I8" s="4" t="n">
        <f aca="false">G8</f>
        <v>26000</v>
      </c>
      <c r="J8" s="4" t="n">
        <f aca="false">G8-I8</f>
        <v>0</v>
      </c>
    </row>
    <row r="9" customFormat="false" ht="15" hidden="false" customHeight="false" outlineLevel="0" collapsed="false">
      <c r="A9" s="2" t="n">
        <v>46279</v>
      </c>
      <c r="B9" s="3" t="s">
        <v>76</v>
      </c>
      <c r="C9" s="3" t="s">
        <v>69</v>
      </c>
      <c r="D9" s="3" t="s">
        <v>16</v>
      </c>
      <c r="E9" s="3" t="n">
        <v>35</v>
      </c>
      <c r="F9" s="4" t="n">
        <v>650</v>
      </c>
      <c r="G9" s="4" t="n">
        <f aca="false">E9*F9</f>
        <v>22750</v>
      </c>
      <c r="H9" s="3" t="s">
        <v>20</v>
      </c>
      <c r="I9" s="4" t="n">
        <v>0</v>
      </c>
      <c r="J9" s="4" t="n">
        <f aca="false">G9-I9</f>
        <v>22750</v>
      </c>
    </row>
    <row r="10" customFormat="false" ht="15" hidden="false" customHeight="false" outlineLevel="0" collapsed="false">
      <c r="A10" s="2" t="n">
        <v>46282</v>
      </c>
      <c r="B10" s="3" t="s">
        <v>77</v>
      </c>
      <c r="C10" s="3" t="s">
        <v>71</v>
      </c>
      <c r="D10" s="3" t="s">
        <v>19</v>
      </c>
      <c r="E10" s="3" t="n">
        <v>15</v>
      </c>
      <c r="F10" s="4" t="n">
        <v>1800</v>
      </c>
      <c r="G10" s="4" t="n">
        <f aca="false">E10*F10</f>
        <v>27000</v>
      </c>
      <c r="H10" s="3" t="s">
        <v>13</v>
      </c>
      <c r="I10" s="4" t="n">
        <f aca="false">G10</f>
        <v>27000</v>
      </c>
      <c r="J10" s="4" t="n">
        <f aca="false">G10-I10</f>
        <v>0</v>
      </c>
    </row>
    <row r="11" customFormat="false" ht="15" hidden="false" customHeight="false" outlineLevel="0" collapsed="false">
      <c r="A11" s="2" t="n">
        <v>46285</v>
      </c>
      <c r="B11" s="3" t="s">
        <v>78</v>
      </c>
      <c r="C11" s="3" t="s">
        <v>73</v>
      </c>
      <c r="D11" s="3" t="s">
        <v>23</v>
      </c>
      <c r="E11" s="3" t="n">
        <v>12</v>
      </c>
      <c r="F11" s="4" t="n">
        <v>2300</v>
      </c>
      <c r="G11" s="4" t="n">
        <f aca="false">E11*F11</f>
        <v>27600</v>
      </c>
      <c r="H11" s="3" t="s">
        <v>20</v>
      </c>
      <c r="I11" s="4" t="n">
        <v>10000</v>
      </c>
      <c r="J11" s="4" t="n">
        <f aca="false">G11-I11</f>
        <v>17600</v>
      </c>
    </row>
    <row r="12" customFormat="false" ht="15" hidden="false" customHeight="false" outlineLevel="0" collapsed="false">
      <c r="A12" s="2" t="n">
        <v>46289</v>
      </c>
      <c r="B12" s="3" t="s">
        <v>79</v>
      </c>
      <c r="C12" s="3" t="s">
        <v>65</v>
      </c>
      <c r="D12" s="3" t="s">
        <v>29</v>
      </c>
      <c r="E12" s="3" t="n">
        <v>15</v>
      </c>
      <c r="F12" s="4" t="n">
        <v>2000</v>
      </c>
      <c r="G12" s="4" t="n">
        <f aca="false">E12*F12</f>
        <v>30000</v>
      </c>
      <c r="H12" s="3" t="s">
        <v>13</v>
      </c>
      <c r="I12" s="4" t="n">
        <f aca="false">G12</f>
        <v>30000</v>
      </c>
      <c r="J12" s="4" t="n">
        <f aca="false">G12-I12</f>
        <v>0</v>
      </c>
    </row>
    <row r="13" customFormat="false" ht="15" hidden="false" customHeight="false" outlineLevel="0" collapsed="false">
      <c r="F13" s="5" t="s">
        <v>58</v>
      </c>
      <c r="G13" s="6" t="n">
        <f aca="false">SUM(G2:G12)</f>
        <v>424350</v>
      </c>
      <c r="I13" s="6" t="n">
        <f aca="false">SUM(I2:I12)</f>
        <v>284000</v>
      </c>
      <c r="J13" s="6" t="n">
        <f aca="false">SUM(J2:J12)</f>
        <v>140350</v>
      </c>
    </row>
  </sheetData>
  <autoFilter ref="A1:J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23.85" hidden="false" customHeight="false" outlineLevel="0" collapsed="false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</row>
    <row r="2" customFormat="false" ht="15" hidden="false" customHeight="false" outlineLevel="0" collapsed="false">
      <c r="A2" s="2" t="n">
        <v>46266</v>
      </c>
      <c r="B2" s="3" t="s">
        <v>84</v>
      </c>
      <c r="C2" s="3" t="s">
        <v>85</v>
      </c>
      <c r="D2" s="3" t="s">
        <v>86</v>
      </c>
      <c r="E2" s="4" t="n">
        <v>35000</v>
      </c>
    </row>
    <row r="3" customFormat="false" ht="15" hidden="false" customHeight="false" outlineLevel="0" collapsed="false">
      <c r="A3" s="2" t="n">
        <v>46268</v>
      </c>
      <c r="B3" s="3" t="s">
        <v>87</v>
      </c>
      <c r="C3" s="3" t="s">
        <v>88</v>
      </c>
      <c r="D3" s="3" t="s">
        <v>13</v>
      </c>
      <c r="E3" s="4" t="n">
        <v>7000</v>
      </c>
    </row>
    <row r="4" customFormat="false" ht="15" hidden="false" customHeight="false" outlineLevel="0" collapsed="false">
      <c r="A4" s="2" t="n">
        <v>46269</v>
      </c>
      <c r="B4" s="3" t="s">
        <v>89</v>
      </c>
      <c r="C4" s="3" t="s">
        <v>90</v>
      </c>
      <c r="D4" s="3" t="s">
        <v>86</v>
      </c>
      <c r="E4" s="4" t="n">
        <v>4500</v>
      </c>
    </row>
    <row r="5" customFormat="false" ht="15" hidden="false" customHeight="false" outlineLevel="0" collapsed="false">
      <c r="A5" s="2" t="n">
        <v>46271</v>
      </c>
      <c r="B5" s="3" t="s">
        <v>91</v>
      </c>
      <c r="C5" s="3" t="s">
        <v>92</v>
      </c>
      <c r="D5" s="3" t="s">
        <v>13</v>
      </c>
      <c r="E5" s="4" t="n">
        <v>3200</v>
      </c>
    </row>
    <row r="6" customFormat="false" ht="15" hidden="false" customHeight="false" outlineLevel="0" collapsed="false">
      <c r="A6" s="2" t="n">
        <v>46273</v>
      </c>
      <c r="B6" s="3" t="s">
        <v>93</v>
      </c>
      <c r="C6" s="3" t="s">
        <v>94</v>
      </c>
      <c r="D6" s="3" t="s">
        <v>13</v>
      </c>
      <c r="E6" s="4" t="n">
        <v>2200</v>
      </c>
    </row>
    <row r="7" customFormat="false" ht="15" hidden="false" customHeight="false" outlineLevel="0" collapsed="false">
      <c r="A7" s="2" t="n">
        <v>46275</v>
      </c>
      <c r="B7" s="3" t="s">
        <v>95</v>
      </c>
      <c r="C7" s="3" t="s">
        <v>96</v>
      </c>
      <c r="D7" s="3" t="s">
        <v>13</v>
      </c>
      <c r="E7" s="4" t="n">
        <v>1800</v>
      </c>
    </row>
    <row r="8" customFormat="false" ht="15" hidden="false" customHeight="false" outlineLevel="0" collapsed="false">
      <c r="A8" s="2" t="n">
        <v>46277</v>
      </c>
      <c r="B8" s="3" t="s">
        <v>97</v>
      </c>
      <c r="C8" s="3" t="s">
        <v>98</v>
      </c>
      <c r="D8" s="3" t="s">
        <v>13</v>
      </c>
      <c r="E8" s="4" t="n">
        <v>2800</v>
      </c>
    </row>
    <row r="9" customFormat="false" ht="15" hidden="false" customHeight="false" outlineLevel="0" collapsed="false">
      <c r="A9" s="2" t="n">
        <v>46280</v>
      </c>
      <c r="B9" s="3" t="s">
        <v>99</v>
      </c>
      <c r="C9" s="3" t="s">
        <v>100</v>
      </c>
      <c r="D9" s="3" t="s">
        <v>86</v>
      </c>
      <c r="E9" s="4" t="n">
        <v>600</v>
      </c>
    </row>
    <row r="10" customFormat="false" ht="15" hidden="false" customHeight="false" outlineLevel="0" collapsed="false">
      <c r="A10" s="2" t="n">
        <v>46283</v>
      </c>
      <c r="B10" s="3" t="s">
        <v>91</v>
      </c>
      <c r="C10" s="3" t="s">
        <v>101</v>
      </c>
      <c r="D10" s="3" t="s">
        <v>13</v>
      </c>
      <c r="E10" s="4" t="n">
        <v>2500</v>
      </c>
    </row>
    <row r="11" customFormat="false" ht="15" hidden="false" customHeight="false" outlineLevel="0" collapsed="false">
      <c r="A11" s="2" t="n">
        <v>46287</v>
      </c>
      <c r="B11" s="3" t="s">
        <v>97</v>
      </c>
      <c r="C11" s="3" t="s">
        <v>102</v>
      </c>
      <c r="D11" s="3" t="s">
        <v>13</v>
      </c>
      <c r="E11" s="4" t="n">
        <v>3500</v>
      </c>
    </row>
    <row r="12" customFormat="false" ht="15" hidden="false" customHeight="false" outlineLevel="0" collapsed="false">
      <c r="A12" s="2" t="n">
        <v>46292</v>
      </c>
      <c r="B12" s="3" t="s">
        <v>93</v>
      </c>
      <c r="C12" s="3" t="s">
        <v>103</v>
      </c>
      <c r="D12" s="3" t="s">
        <v>13</v>
      </c>
      <c r="E12" s="4" t="n">
        <v>1700</v>
      </c>
    </row>
    <row r="13" customFormat="false" ht="15" hidden="false" customHeight="false" outlineLevel="0" collapsed="false">
      <c r="D13" s="5" t="s">
        <v>58</v>
      </c>
      <c r="E13" s="6" t="n">
        <f aca="false">SUM(E2:E12)</f>
        <v>64800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4" min="3" style="0" width="3"/>
    <col collapsed="false" customWidth="true" hidden="false" outlineLevel="0" max="7" min="6" style="0" width="20"/>
  </cols>
  <sheetData>
    <row r="1" customFormat="false" ht="21.75" hidden="false" customHeight="true" outlineLevel="0" collapsed="false">
      <c r="A1" s="7" t="s">
        <v>104</v>
      </c>
      <c r="B1" s="7"/>
      <c r="C1" s="7"/>
      <c r="D1" s="7"/>
    </row>
    <row r="2" customFormat="false" ht="15" hidden="false" customHeight="false" outlineLevel="0" collapsed="false">
      <c r="A2" s="8" t="s">
        <v>105</v>
      </c>
      <c r="B2" s="8"/>
      <c r="C2" s="8"/>
      <c r="D2" s="8"/>
    </row>
    <row r="4" customFormat="false" ht="19.5" hidden="false" customHeight="true" outlineLevel="0" collapsed="false">
      <c r="A4" s="9" t="s">
        <v>106</v>
      </c>
      <c r="B4" s="9"/>
      <c r="C4" s="9"/>
      <c r="D4" s="9"/>
      <c r="F4" s="9" t="s">
        <v>107</v>
      </c>
      <c r="G4" s="9"/>
    </row>
    <row r="5" customFormat="false" ht="15" hidden="false" customHeight="false" outlineLevel="0" collapsed="false">
      <c r="A5" s="10" t="s">
        <v>6</v>
      </c>
      <c r="B5" s="11" t="n">
        <f aca="false">SUM(Sales!G2:G29)</f>
        <v>493350</v>
      </c>
      <c r="F5" s="12" t="s">
        <v>3</v>
      </c>
      <c r="G5" s="13" t="s">
        <v>108</v>
      </c>
    </row>
    <row r="6" customFormat="false" ht="15" hidden="false" customHeight="false" outlineLevel="0" collapsed="false">
      <c r="A6" s="10" t="s">
        <v>109</v>
      </c>
      <c r="B6" s="11" t="n">
        <f aca="false">SUM(Purchases!G2:G12)</f>
        <v>424350</v>
      </c>
      <c r="F6" s="10" t="s">
        <v>12</v>
      </c>
      <c r="G6" s="14" t="n">
        <f aca="false">SUMIF(Sales!$D$2:$D$29,F6,Sales!$G$2:$G$29)</f>
        <v>100800</v>
      </c>
    </row>
    <row r="7" customFormat="false" ht="15" hidden="false" customHeight="false" outlineLevel="0" collapsed="false">
      <c r="A7" s="10" t="s">
        <v>110</v>
      </c>
      <c r="B7" s="11" t="n">
        <f aca="false">SUM(Expenses!E2:E12)</f>
        <v>64800</v>
      </c>
      <c r="F7" s="10" t="s">
        <v>16</v>
      </c>
      <c r="G7" s="14" t="n">
        <f aca="false">SUMIF(Sales!$D$2:$D$29,F7,Sales!$G$2:$G$29)</f>
        <v>63900</v>
      </c>
    </row>
    <row r="8" customFormat="false" ht="15" hidden="false" customHeight="false" outlineLevel="0" collapsed="false">
      <c r="A8" s="10" t="s">
        <v>111</v>
      </c>
      <c r="B8" s="11" t="n">
        <f aca="false">SUM(Sales!I2:I29)</f>
        <v>320550</v>
      </c>
      <c r="F8" s="10" t="s">
        <v>19</v>
      </c>
      <c r="G8" s="14" t="n">
        <f aca="false">SUMIF(Sales!$D$2:$D$29,F8,Sales!$G$2:$G$29)</f>
        <v>87500</v>
      </c>
    </row>
    <row r="9" customFormat="false" ht="15" hidden="false" customHeight="false" outlineLevel="0" collapsed="false">
      <c r="A9" s="10" t="s">
        <v>112</v>
      </c>
      <c r="B9" s="11" t="n">
        <f aca="false">SUM(Purchases!I2:I12)</f>
        <v>284000</v>
      </c>
      <c r="F9" s="10" t="s">
        <v>23</v>
      </c>
      <c r="G9" s="14" t="n">
        <f aca="false">SUMIF(Sales!$D$2:$D$29,F9,Sales!$G$2:$G$29)</f>
        <v>70400</v>
      </c>
    </row>
    <row r="10" customFormat="false" ht="15" hidden="false" customHeight="false" outlineLevel="0" collapsed="false">
      <c r="F10" s="10" t="s">
        <v>26</v>
      </c>
      <c r="G10" s="14" t="n">
        <f aca="false">SUMIF(Sales!$D$2:$D$29,F10,Sales!$G$2:$G$29)</f>
        <v>72750</v>
      </c>
    </row>
    <row r="11" customFormat="false" ht="19.5" hidden="false" customHeight="true" outlineLevel="0" collapsed="false">
      <c r="A11" s="9" t="s">
        <v>113</v>
      </c>
      <c r="B11" s="9"/>
      <c r="C11" s="9"/>
      <c r="D11" s="9"/>
      <c r="F11" s="10" t="s">
        <v>29</v>
      </c>
      <c r="G11" s="14" t="n">
        <f aca="false">SUMIF(Sales!$D$2:$D$29,F11,Sales!$G$2:$G$29)</f>
        <v>98000</v>
      </c>
    </row>
    <row r="12" customFormat="false" ht="15" hidden="false" customHeight="false" outlineLevel="0" collapsed="false">
      <c r="A12" s="10" t="s">
        <v>114</v>
      </c>
      <c r="B12" s="11" t="n">
        <f aca="false">SUM(Sales!J2:J29)</f>
        <v>172800</v>
      </c>
    </row>
    <row r="13" customFormat="false" ht="15" hidden="false" customHeight="false" outlineLevel="0" collapsed="false">
      <c r="A13" s="10" t="s">
        <v>115</v>
      </c>
      <c r="B13" s="11" t="n">
        <f aca="false">SUM(Purchases!J2:J12)</f>
        <v>140350</v>
      </c>
      <c r="F13" s="9" t="s">
        <v>116</v>
      </c>
      <c r="G13" s="9"/>
    </row>
    <row r="14" customFormat="false" ht="15" hidden="false" customHeight="false" outlineLevel="0" collapsed="false">
      <c r="A14" s="10" t="s">
        <v>117</v>
      </c>
      <c r="B14" s="15" t="str">
        <f aca="false">IF(B12&gt;0,"Balance still outstanding from customers","All customer invoices fully collected")</f>
        <v>Balance still outstanding from customers</v>
      </c>
      <c r="F14" s="12" t="s">
        <v>118</v>
      </c>
      <c r="G14" s="13" t="s">
        <v>119</v>
      </c>
    </row>
    <row r="15" customFormat="false" ht="15" hidden="false" customHeight="false" outlineLevel="0" collapsed="false">
      <c r="A15" s="10" t="s">
        <v>120</v>
      </c>
      <c r="B15" s="15" t="str">
        <f aca="false">IF(B13&gt;0,"Balance still owed to suppliers","All supplier bills fully paid")</f>
        <v>Balance still owed to suppliers</v>
      </c>
      <c r="F15" s="10" t="s">
        <v>84</v>
      </c>
      <c r="G15" s="14" t="n">
        <f aca="false">SUMIF(Expenses!$B$2:$B$12,F15,Expenses!$E$2:$E$12)</f>
        <v>35000</v>
      </c>
    </row>
    <row r="16" customFormat="false" ht="15" hidden="false" customHeight="false" outlineLevel="0" collapsed="false">
      <c r="F16" s="10" t="s">
        <v>87</v>
      </c>
      <c r="G16" s="14" t="n">
        <f aca="false">SUMIF(Expenses!$B$2:$B$12,F16,Expenses!$E$2:$E$12)</f>
        <v>7000</v>
      </c>
    </row>
    <row r="17" customFormat="false" ht="19.5" hidden="false" customHeight="true" outlineLevel="0" collapsed="false">
      <c r="A17" s="9" t="s">
        <v>121</v>
      </c>
      <c r="B17" s="9"/>
      <c r="C17" s="9"/>
      <c r="D17" s="9"/>
      <c r="F17" s="10" t="s">
        <v>89</v>
      </c>
      <c r="G17" s="14" t="n">
        <f aca="false">SUMIF(Expenses!$B$2:$B$12,F17,Expenses!$E$2:$E$12)</f>
        <v>4500</v>
      </c>
    </row>
    <row r="18" customFormat="false" ht="15" hidden="false" customHeight="false" outlineLevel="0" collapsed="false">
      <c r="A18" s="16" t="s">
        <v>122</v>
      </c>
      <c r="B18" s="17" t="n">
        <f aca="false">B5-B6</f>
        <v>69000</v>
      </c>
      <c r="F18" s="10" t="s">
        <v>91</v>
      </c>
      <c r="G18" s="14" t="n">
        <f aca="false">SUMIF(Expenses!$B$2:$B$12,F18,Expenses!$E$2:$E$12)</f>
        <v>5700</v>
      </c>
    </row>
    <row r="19" customFormat="false" ht="15" hidden="false" customHeight="false" outlineLevel="0" collapsed="false">
      <c r="A19" s="18" t="s">
        <v>123</v>
      </c>
      <c r="B19" s="19" t="n">
        <f aca="false">B18-B7</f>
        <v>4200</v>
      </c>
      <c r="F19" s="10" t="s">
        <v>93</v>
      </c>
      <c r="G19" s="14" t="n">
        <f aca="false">SUMIF(Expenses!$B$2:$B$12,F19,Expenses!$E$2:$E$12)</f>
        <v>3900</v>
      </c>
    </row>
    <row r="20" customFormat="false" ht="27.75" hidden="false" customHeight="true" outlineLevel="0" collapsed="false">
      <c r="A20" s="20" t="s">
        <v>124</v>
      </c>
      <c r="B20" s="20"/>
      <c r="C20" s="20"/>
      <c r="D20" s="20"/>
      <c r="F20" s="10" t="s">
        <v>95</v>
      </c>
      <c r="G20" s="14" t="n">
        <f aca="false">SUMIF(Expenses!$B$2:$B$12,F20,Expenses!$E$2:$E$12)</f>
        <v>1800</v>
      </c>
    </row>
    <row r="21" customFormat="false" ht="15" hidden="false" customHeight="false" outlineLevel="0" collapsed="false">
      <c r="F21" s="10" t="s">
        <v>97</v>
      </c>
      <c r="G21" s="14" t="n">
        <f aca="false">SUMIF(Expenses!$B$2:$B$12,F21,Expenses!$E$2:$E$12)</f>
        <v>6300</v>
      </c>
    </row>
    <row r="22" customFormat="false" ht="19.5" hidden="false" customHeight="true" outlineLevel="0" collapsed="false">
      <c r="A22" s="9" t="s">
        <v>125</v>
      </c>
      <c r="B22" s="9"/>
      <c r="C22" s="9"/>
      <c r="D22" s="9"/>
      <c r="F22" s="10" t="s">
        <v>99</v>
      </c>
      <c r="G22" s="14" t="n">
        <f aca="false">SUMIF(Expenses!$B$2:$B$12,F22,Expenses!$E$2:$E$12)</f>
        <v>600</v>
      </c>
    </row>
    <row r="23" customFormat="false" ht="15" hidden="false" customHeight="false" outlineLevel="0" collapsed="false">
      <c r="A23" s="10" t="s">
        <v>126</v>
      </c>
      <c r="B23" s="21" t="n">
        <f aca="false">COUNTIF(Sales!H2:H29,"Cash")</f>
        <v>16</v>
      </c>
    </row>
    <row r="24" customFormat="false" ht="15" hidden="false" customHeight="false" outlineLevel="0" collapsed="false">
      <c r="A24" s="10" t="s">
        <v>127</v>
      </c>
      <c r="B24" s="21" t="n">
        <f aca="false">COUNTIF(Sales!H2:H29,"Credit")</f>
        <v>12</v>
      </c>
    </row>
    <row r="25" customFormat="false" ht="15" hidden="false" customHeight="false" outlineLevel="0" collapsed="false">
      <c r="A25" s="10" t="s">
        <v>128</v>
      </c>
      <c r="B25" s="21" t="n">
        <f aca="false">COUNTIF(Purchases!H2:H12,"Cash")</f>
        <v>6</v>
      </c>
    </row>
    <row r="26" customFormat="false" ht="15" hidden="false" customHeight="false" outlineLevel="0" collapsed="false">
      <c r="A26" s="10" t="s">
        <v>129</v>
      </c>
      <c r="B26" s="21" t="n">
        <f aca="false">COUNTIF(Purchases!H2:H12,"Credit")</f>
        <v>5</v>
      </c>
    </row>
  </sheetData>
  <mergeCells count="9">
    <mergeCell ref="A1:D1"/>
    <mergeCell ref="A2:D2"/>
    <mergeCell ref="A4:D4"/>
    <mergeCell ref="F4:G4"/>
    <mergeCell ref="A11:D11"/>
    <mergeCell ref="F13:G13"/>
    <mergeCell ref="A17:D17"/>
    <mergeCell ref="A20:D20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2026-09-26T09:40:54Z</dcterms:created>
  <dc:creator>openpyxl</dc:creator>
  <dc:description/>
  <dc:language>en-US</dc:language>
  <cp:lastModifiedBy/>
  <dcterms:modified xsi:type="dcterms:W3CDTF">2026-09-26T09:41:39Z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